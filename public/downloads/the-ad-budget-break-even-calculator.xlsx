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 Economics" sheetId="1" r:id="rId1"/>
    <sheet name="ROAS Forecaster" sheetId="2" r:id="rId2"/>
    <sheet name="Volume Scenarios" sheetId="3" r:id="rId3"/>
    <sheet name="Daily Track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45.83203125" customWidth="1"/>
    <col min="2" max="2" width="18.83203125" customWidth="1"/>
    <col min="3" max="3" width="55.83203125" customWidth="1"/>
  </cols>
  <sheetData>
    <row r="1">
      <c r="A1" t="str">
        <v>DIGITAL MUID — META ADS UNIT ECONOMICS &amp; BREAK-EVEN CALCULATOR</v>
      </c>
      <c r="B1" t="str">
        <v/>
      </c>
      <c r="C1" t="str">
        <v/>
      </c>
    </row>
    <row r="2">
      <c r="A2" t="str">
        <v>Confidential &amp; Proprietary Operating System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1. PRODUCT &amp; MARGIN INPUTS</v>
      </c>
      <c r="B4" t="str">
        <v>VALUE</v>
      </c>
      <c r="C4" t="str">
        <v>NOTES / FORMULA</v>
      </c>
    </row>
    <row r="5">
      <c r="A5" t="str">
        <v>Selling Price per Unit (Gross Revenue)</v>
      </c>
      <c r="B5">
        <v>1999</v>
      </c>
      <c r="C5" t="str">
        <v>Selling price to customer in INR</v>
      </c>
    </row>
    <row r="6">
      <c r="A6" t="str">
        <v>Cost of Goods Sold (COGS)</v>
      </c>
      <c r="B6">
        <v>450</v>
      </c>
      <c r="C6" t="str">
        <v>Direct manufacturing, licensing or fulfillment cost</v>
      </c>
    </row>
    <row r="7">
      <c r="A7" t="str">
        <v>Packaging &amp; Shipping Cost</v>
      </c>
      <c r="B7">
        <v>120</v>
      </c>
      <c r="C7" t="str">
        <v>Physical shipping, handling, or delivery fee</v>
      </c>
    </row>
    <row r="8">
      <c r="A8" t="str">
        <v>Payment Gateway Fee % (Razorpay/Stripe)</v>
      </c>
      <c r="B8">
        <v>0.02</v>
      </c>
      <c r="C8" t="str">
        <v>Standard 2.0% gateway transaction fee</v>
      </c>
    </row>
    <row r="9">
      <c r="A9" t="str">
        <v>GST on Payment Gateway Fee (18%)</v>
      </c>
      <c r="B9">
        <v>0.0036</v>
      </c>
      <c r="C9" t="str">
        <v>18% GST applicable on gateway fee</v>
      </c>
    </row>
    <row r="10">
      <c r="A10" t="str">
        <v>Total Payment Gateway Cost per Unit</v>
      </c>
      <c r="B10">
        <f>B5*(B8+B9)</f>
      </c>
      <c r="C10" t="str">
        <v>=Price * (Gateway Fee + GST)</v>
      </c>
    </row>
    <row r="11">
      <c r="A11" t="str">
        <v>Net Margin per Unit (Before Ad Spend)</v>
      </c>
      <c r="B11">
        <f>B5-B6-B7-B10</f>
      </c>
      <c r="C11" t="str">
        <v>Gross Profit available for ad acquisition</v>
      </c>
    </row>
    <row r="12">
      <c r="A12" t="str">
        <v>Net Margin %</v>
      </c>
      <c r="B12">
        <f>B11/B5</f>
      </c>
      <c r="C12" t="str">
        <v>Gross profit margin percentage</v>
      </c>
    </row>
    <row r="13">
      <c r="A13" t="str">
        <v/>
      </c>
      <c r="B13" t="str">
        <v/>
      </c>
      <c r="C13" t="str">
        <v/>
      </c>
    </row>
    <row r="14">
      <c r="A14" t="str">
        <v>2. BREAK-EVEN ADVERTISING THRESHOLDS</v>
      </c>
      <c r="B14" t="str">
        <v>VALUE</v>
      </c>
      <c r="C14" t="str">
        <v>STRATEGIC MEANING</v>
      </c>
    </row>
    <row r="15">
      <c r="A15" t="str">
        <v>Break-Even ROAS</v>
      </c>
      <c r="B15">
        <f>1/B12</f>
      </c>
      <c r="C15" t="str">
        <v>Minimum ROAS required to not lose money on ad spend</v>
      </c>
    </row>
    <row r="16">
      <c r="A16" t="str">
        <v>Break-Even CPA (Max Allowable Ad Spend)</v>
      </c>
      <c r="B16">
        <f>B11</f>
      </c>
      <c r="C16" t="str">
        <v>Maximum you can spend to acquire 1 customer before losing money</v>
      </c>
    </row>
    <row r="17">
      <c r="A17" t="str">
        <v>Target Desired Net Profit Margin %</v>
      </c>
      <c r="B17">
        <v>0.25</v>
      </c>
      <c r="C17" t="str">
        <v>Target net profit margin after all ad spend (e.g. 25%)</v>
      </c>
    </row>
    <row r="18">
      <c r="A18" t="str">
        <v>Target Max CPA for Desired Profit</v>
      </c>
      <c r="B18">
        <f>B11*(1-B17)</f>
      </c>
      <c r="C18" t="str">
        <v>Target CPA needed to hit your desired profit margin</v>
      </c>
    </row>
    <row r="19">
      <c r="A19" t="str">
        <v>Target ROAS for Desired Profit</v>
      </c>
      <c r="B19">
        <f>B5/B18</f>
      </c>
      <c r="C19" t="str">
        <v>Target ROAS needed inside Meta Ads Manager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0.83203125" customWidth="1"/>
    <col min="2" max="2" width="18.83203125" customWidth="1"/>
    <col min="3" max="3" width="20.83203125" customWidth="1"/>
    <col min="4" max="4" width="22.83203125" customWidth="1"/>
    <col min="5" max="5" width="18.83203125" customWidth="1"/>
    <col min="6" max="6" width="20.83203125" customWidth="1"/>
  </cols>
  <sheetData>
    <row r="1">
      <c r="A1" t="str">
        <v>DIGITAL MUID — TARGET ROAS &amp; PROFIT FORECASTER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Monthly Ad Spend</v>
      </c>
      <c r="B3" t="str">
        <v>Projected ROAS</v>
      </c>
      <c r="C3" t="str">
        <v>Gross Revenue</v>
      </c>
      <c r="D3" t="str">
        <v>Product &amp; Ops Costs</v>
      </c>
      <c r="E3" t="str">
        <v>Total Ad Spend</v>
      </c>
      <c r="F3" t="str">
        <v>Net Profit (INR)</v>
      </c>
    </row>
    <row r="4">
      <c r="A4">
        <v>25000</v>
      </c>
      <c r="B4">
        <v>2.5</v>
      </c>
      <c r="C4">
        <f>A4*B4</f>
      </c>
      <c r="D4">
        <f>C4*0.3</f>
      </c>
      <c r="E4">
        <f>A4</f>
      </c>
      <c r="F4">
        <f>C4-D4-E4</f>
      </c>
    </row>
    <row r="5">
      <c r="A5">
        <v>50000</v>
      </c>
      <c r="B5">
        <v>2.8</v>
      </c>
      <c r="C5">
        <f>A5*B5</f>
      </c>
      <c r="D5">
        <f>C5*0.3</f>
      </c>
      <c r="E5">
        <f>A5</f>
      </c>
      <c r="F5">
        <f>C5-D5-E5</f>
      </c>
    </row>
    <row r="6">
      <c r="A6">
        <v>100000</v>
      </c>
      <c r="B6">
        <v>3</v>
      </c>
      <c r="C6">
        <f>A6*B6</f>
      </c>
      <c r="D6">
        <f>C6*0.3</f>
      </c>
      <c r="E6">
        <f>A6</f>
      </c>
      <c r="F6">
        <f>C6-D6-E6</f>
      </c>
    </row>
    <row r="7">
      <c r="A7">
        <v>250000</v>
      </c>
      <c r="B7">
        <v>2.6</v>
      </c>
      <c r="C7">
        <f>A7*B7</f>
      </c>
      <c r="D7">
        <f>C7*0.3</f>
      </c>
      <c r="E7">
        <f>A7</f>
      </c>
      <c r="F7">
        <f>C7-D7-E7</f>
      </c>
    </row>
    <row r="8">
      <c r="A8">
        <v>500000</v>
      </c>
      <c r="B8">
        <v>2.4</v>
      </c>
      <c r="C8">
        <f>A8*B8</f>
      </c>
      <c r="D8">
        <f>C8*0.3</f>
      </c>
      <c r="E8">
        <f>A8</f>
      </c>
      <c r="F8">
        <f>C8-D8-E8</f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6.83203125" customWidth="1"/>
    <col min="2" max="2" width="16.83203125" customWidth="1"/>
    <col min="3" max="3" width="18.83203125" customWidth="1"/>
    <col min="4" max="4" width="20.83203125" customWidth="1"/>
    <col min="5" max="5" width="20.83203125" customWidth="1"/>
    <col min="6" max="6" width="22.83203125" customWidth="1"/>
    <col min="7" max="7" width="22.83203125" customWidth="1"/>
  </cols>
  <sheetData>
    <row r="1">
      <c r="A1" t="str">
        <v>DIGITAL MUID — VOLUME SCENARIO PLANNER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Sales Orders</v>
      </c>
      <c r="B2" t="str">
        <v>Selling Price</v>
      </c>
      <c r="C2" t="str">
        <v>Gross Revenue</v>
      </c>
      <c r="D2" t="str">
        <v>Total Product COGS</v>
      </c>
      <c r="E2" t="str">
        <v>Estimated Ad Spend</v>
      </c>
      <c r="F2" t="str">
        <v>Net Margin Available</v>
      </c>
      <c r="G2" t="str">
        <v>Projected Net Profit</v>
      </c>
    </row>
    <row r="3">
      <c r="A3">
        <v>10</v>
      </c>
      <c r="B3">
        <v>1999</v>
      </c>
      <c r="C3">
        <f>A3*B3</f>
      </c>
      <c r="D3">
        <f>A3*570</f>
      </c>
      <c r="E3">
        <f>A3*700</f>
      </c>
      <c r="F3">
        <f>C3-D3</f>
      </c>
      <c r="G3">
        <f>F3-E3</f>
      </c>
    </row>
    <row r="4">
      <c r="A4">
        <v>25</v>
      </c>
      <c r="B4">
        <v>1999</v>
      </c>
      <c r="C4">
        <f>A4*B4</f>
      </c>
      <c r="D4">
        <f>A4*570</f>
      </c>
      <c r="E4">
        <f>A4*700</f>
      </c>
      <c r="F4">
        <f>C4-D4</f>
      </c>
      <c r="G4">
        <f>F4-E4</f>
      </c>
    </row>
    <row r="5">
      <c r="A5">
        <v>50</v>
      </c>
      <c r="B5">
        <v>1999</v>
      </c>
      <c r="C5">
        <f>A5*B5</f>
      </c>
      <c r="D5">
        <f>A5*570</f>
      </c>
      <c r="E5">
        <f>A5*680</f>
      </c>
      <c r="F5">
        <f>C5-D5</f>
      </c>
      <c r="G5">
        <f>F5-E5</f>
      </c>
    </row>
    <row r="6">
      <c r="A6">
        <v>100</v>
      </c>
      <c r="B6">
        <v>1999</v>
      </c>
      <c r="C6">
        <f>A6*B6</f>
      </c>
      <c r="D6">
        <f>A6*570</f>
      </c>
      <c r="E6">
        <f>A6*650</f>
      </c>
      <c r="F6">
        <f>C6-D6</f>
      </c>
      <c r="G6">
        <f>F6-E6</f>
      </c>
    </row>
    <row r="7">
      <c r="A7">
        <v>250</v>
      </c>
      <c r="B7">
        <v>1999</v>
      </c>
      <c r="C7">
        <f>A7*B7</f>
      </c>
      <c r="D7">
        <f>A7*550</f>
      </c>
      <c r="E7">
        <f>A7*650</f>
      </c>
      <c r="F7">
        <f>C7-D7</f>
      </c>
      <c r="G7">
        <f>F7-E7</f>
      </c>
    </row>
    <row r="8">
      <c r="A8">
        <v>500</v>
      </c>
      <c r="B8">
        <v>1999</v>
      </c>
      <c r="C8">
        <f>A8*B8</f>
      </c>
      <c r="D8">
        <f>A8*530</f>
      </c>
      <c r="E8">
        <f>A8*670</f>
      </c>
      <c r="F8">
        <f>C8-D8</f>
      </c>
      <c r="G8">
        <f>F8-E8</f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4.83203125" customWidth="1"/>
    <col min="2" max="2" width="32.83203125" customWidth="1"/>
    <col min="3" max="3" width="16.83203125" customWidth="1"/>
    <col min="4" max="4" width="14.83203125" customWidth="1"/>
    <col min="5" max="5" width="10.83203125" customWidth="1"/>
    <col min="6" max="6" width="12.83203125" customWidth="1"/>
    <col min="7" max="7" width="12.83203125" customWidth="1"/>
    <col min="8" max="8" width="20.83203125" customWidth="1"/>
    <col min="9" max="9" width="16.83203125" customWidth="1"/>
    <col min="10" max="10" width="12.83203125" customWidth="1"/>
    <col min="11" max="11" width="14.83203125" customWidth="1"/>
    <col min="12" max="12" width="14.83203125" customWidth="1"/>
    <col min="13" max="13" width="16.83203125" customWidth="1"/>
    <col min="14" max="14" width="12.83203125" customWidth="1"/>
  </cols>
  <sheetData>
    <row r="1">
      <c r="A1" t="str">
        <v>DIGITAL MUID — DAILY CAMPAIGN PERFORMANCE TRACKER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Date</v>
      </c>
      <c r="B2" t="str">
        <v>Campaign Name</v>
      </c>
      <c r="C2" t="str">
        <v>Ad Spend (INR)</v>
      </c>
      <c r="D2" t="str">
        <v>Impressions</v>
      </c>
      <c r="E2" t="str">
        <v>Clicks</v>
      </c>
      <c r="F2" t="str">
        <v>CTR %</v>
      </c>
      <c r="G2" t="str">
        <v>CPC (INR)</v>
      </c>
      <c r="H2" t="str">
        <v>Landing Page Views</v>
      </c>
      <c r="I2" t="str">
        <v>LP View Rate %</v>
      </c>
      <c r="J2" t="str">
        <v>Purchases</v>
      </c>
      <c r="K2" t="str">
        <v>Conv Rate %</v>
      </c>
      <c r="L2" t="str">
        <v>CPA (INR)</v>
      </c>
      <c r="M2" t="str">
        <v>Revenue (INR)</v>
      </c>
      <c r="N2" t="str">
        <v>ROAS</v>
      </c>
    </row>
    <row r="3">
      <c r="A3" t="str">
        <v>2026-10-01</v>
      </c>
      <c r="B3" t="str">
        <v>TOF - Advantage+ Broad Test</v>
      </c>
      <c r="C3">
        <v>2500</v>
      </c>
      <c r="D3">
        <v>12000</v>
      </c>
      <c r="E3">
        <v>240</v>
      </c>
      <c r="F3">
        <f>E3/D3</f>
      </c>
      <c r="G3">
        <f>C3/E3</f>
      </c>
      <c r="H3">
        <v>185</v>
      </c>
      <c r="I3">
        <f>H3/E3</f>
      </c>
      <c r="J3">
        <v>4</v>
      </c>
      <c r="K3">
        <f>J3/H3</f>
      </c>
      <c r="L3">
        <f>C3/J3</f>
      </c>
      <c r="M3">
        <v>7996</v>
      </c>
      <c r="N3">
        <f>M3/C3</f>
      </c>
    </row>
    <row r="4">
      <c r="A4" t="str">
        <v>2026-10-02</v>
      </c>
      <c r="B4" t="str">
        <v>TOF - Advantage+ Broad Test</v>
      </c>
      <c r="C4">
        <v>3000</v>
      </c>
      <c r="D4">
        <v>15500</v>
      </c>
      <c r="E4">
        <v>310</v>
      </c>
      <c r="F4">
        <f>E4/D4</f>
      </c>
      <c r="G4">
        <f>C4/E4</f>
      </c>
      <c r="H4">
        <v>245</v>
      </c>
      <c r="I4">
        <f>H4/E4</f>
      </c>
      <c r="J4">
        <v>6</v>
      </c>
      <c r="K4">
        <f>J4/H4</f>
      </c>
      <c r="L4">
        <f>C4/J4</f>
      </c>
      <c r="M4">
        <v>11994</v>
      </c>
      <c r="N4">
        <f>M4/C4</f>
      </c>
    </row>
    <row r="5">
      <c r="A5" t="str">
        <v>2026-10-03</v>
      </c>
      <c r="B5" t="str">
        <v>MOF - 30D Engagers Retargeting</v>
      </c>
      <c r="C5">
        <v>1200</v>
      </c>
      <c r="D5">
        <v>4800</v>
      </c>
      <c r="E5">
        <v>120</v>
      </c>
      <c r="F5">
        <f>E5/D5</f>
      </c>
      <c r="G5">
        <f>C5/E5</f>
      </c>
      <c r="H5">
        <v>105</v>
      </c>
      <c r="I5">
        <f>H5/E5</f>
      </c>
      <c r="J5">
        <v>3</v>
      </c>
      <c r="K5">
        <f>J5/H5</f>
      </c>
      <c r="L5">
        <f>C5/J5</f>
      </c>
      <c r="M5">
        <v>5997</v>
      </c>
      <c r="N5">
        <f>M5/C5</f>
      </c>
    </row>
    <row r="6">
      <c r="A6" t="str">
        <v>2026-10-04</v>
      </c>
      <c r="B6" t="str">
        <v>BOF - 7D Cart Abandoners</v>
      </c>
      <c r="C6">
        <v>800</v>
      </c>
      <c r="D6">
        <v>1900</v>
      </c>
      <c r="E6">
        <v>65</v>
      </c>
      <c r="F6">
        <f>E6/D6</f>
      </c>
      <c r="G6">
        <f>C6/E6</f>
      </c>
      <c r="H6">
        <v>60</v>
      </c>
      <c r="I6">
        <f>H6/E6</f>
      </c>
      <c r="J6">
        <v>2</v>
      </c>
      <c r="K6">
        <f>J6/H6</f>
      </c>
      <c r="L6">
        <f>C6/J6</f>
      </c>
      <c r="M6">
        <v>3998</v>
      </c>
      <c r="N6">
        <f>M6/C6</f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 Economics</vt:lpstr>
      <vt:lpstr>ROAS Forecaster</vt:lpstr>
      <vt:lpstr>Volume Scenarios</vt:lpstr>
      <vt:lpstr>Daily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